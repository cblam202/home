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cblam_ksu_edu/Documents/COE Data Analyst/EDCI 913 Inquiry I/Spring 2026/Data simulation/Lecture data/"/>
    </mc:Choice>
  </mc:AlternateContent>
  <xr:revisionPtr revIDLastSave="486" documentId="11_B35981270C9F3F5129B69650EE442AF0710427CF" xr6:coauthVersionLast="47" xr6:coauthVersionMax="47" xr10:uidLastSave="{1355735A-F2DB-534F-9694-756C958C38AA}"/>
  <bookViews>
    <workbookView xWindow="0" yWindow="600" windowWidth="38400" windowHeight="19680" xr2:uid="{00000000-000D-0000-FFFF-FFFF00000000}"/>
  </bookViews>
  <sheets>
    <sheet name="covariance" sheetId="2" r:id="rId1"/>
    <sheet name="more data" sheetId="1" r:id="rId2"/>
  </sheets>
  <definedNames>
    <definedName name="_xlnm._FilterDatabase" localSheetId="0" hidden="1">covariance!$B$5:$H$50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B34" i="2"/>
  <c r="B17" i="2"/>
  <c r="B35" i="2"/>
  <c r="B25" i="2"/>
  <c r="B8" i="2"/>
  <c r="B22" i="2"/>
  <c r="B26" i="2"/>
  <c r="B6" i="2"/>
  <c r="B23" i="2"/>
  <c r="B7" i="2"/>
  <c r="B29" i="2"/>
  <c r="B30" i="2"/>
  <c r="B39" i="2"/>
  <c r="B41" i="2"/>
  <c r="B10" i="2"/>
  <c r="B44" i="2"/>
  <c r="B18" i="2"/>
  <c r="B21" i="2"/>
  <c r="B40" i="2"/>
  <c r="B36" i="2"/>
  <c r="B28" i="2"/>
  <c r="B19" i="2"/>
  <c r="B24" i="2"/>
  <c r="B16" i="2"/>
  <c r="B13" i="2"/>
  <c r="B38" i="2"/>
  <c r="B20" i="2"/>
  <c r="B49" i="2"/>
  <c r="B15" i="2"/>
  <c r="B27" i="2"/>
  <c r="B11" i="2"/>
  <c r="B32" i="2"/>
  <c r="B47" i="2"/>
  <c r="B43" i="2"/>
  <c r="B37" i="2"/>
  <c r="B31" i="2"/>
  <c r="B12" i="2"/>
  <c r="B33" i="2"/>
  <c r="B46" i="2"/>
  <c r="B9" i="2"/>
  <c r="B14" i="2"/>
  <c r="B50" i="2"/>
  <c r="B42" i="2"/>
  <c r="B48" i="2"/>
  <c r="B45" i="2"/>
  <c r="B5" i="2"/>
  <c r="H3" i="1"/>
  <c r="H4" i="1"/>
  <c r="H5" i="1"/>
  <c r="H6" i="1"/>
</calcChain>
</file>

<file path=xl/sharedStrings.xml><?xml version="1.0" encoding="utf-8"?>
<sst xmlns="http://schemas.openxmlformats.org/spreadsheetml/2006/main" count="48" uniqueCount="47">
  <si>
    <t>X</t>
  </si>
  <si>
    <t>Y_positive</t>
  </si>
  <si>
    <t>Y_negative</t>
  </si>
  <si>
    <t>Y_none</t>
  </si>
  <si>
    <t>Y_quad</t>
  </si>
  <si>
    <t>Y_positive to X</t>
  </si>
  <si>
    <t>Y_negative to X</t>
  </si>
  <si>
    <t>Y_none to X</t>
  </si>
  <si>
    <t>Y_quad to X</t>
  </si>
  <si>
    <t>Correlation</t>
  </si>
  <si>
    <r>
      <t xml:space="preserve">Coefficient </t>
    </r>
    <r>
      <rPr>
        <i/>
        <sz val="11"/>
        <rFont val="Calibri"/>
        <family val="2"/>
      </rPr>
      <t>r</t>
    </r>
  </si>
  <si>
    <t>Mean X</t>
  </si>
  <si>
    <t>Mean Y</t>
  </si>
  <si>
    <t>X - Mean(X)</t>
  </si>
  <si>
    <t>Y - Mean(Y)</t>
  </si>
  <si>
    <t>(X - Mean(X))*(Y - Mean(Y))</t>
  </si>
  <si>
    <t>Covariance</t>
  </si>
  <si>
    <t>Y</t>
  </si>
  <si>
    <t>Covariance over SD(X) times SD(Y)</t>
  </si>
  <si>
    <t>Pearson's r (built-in)</t>
  </si>
  <si>
    <t>Pearson's r (manual)</t>
  </si>
  <si>
    <t>Observation</t>
  </si>
  <si>
    <t>Sum (X - Mean(X))*(Y - Mean(Y))</t>
  </si>
  <si>
    <t>Sum of covariation products</t>
  </si>
  <si>
    <t>Sum of products over (N-1)</t>
  </si>
  <si>
    <t>Standard Deviation SD(X)</t>
  </si>
  <si>
    <t>Standard Deviation SD(Y)</t>
  </si>
  <si>
    <t>Calculated using CORREL()</t>
  </si>
  <si>
    <t>Sample Size N</t>
  </si>
  <si>
    <t>Count of values in the dataset</t>
  </si>
  <si>
    <t>Calculated using STDEV.S()</t>
  </si>
  <si>
    <t>Notes</t>
  </si>
  <si>
    <t>Results</t>
  </si>
  <si>
    <t>B6-D6</t>
  </si>
  <si>
    <t>C6-E6</t>
  </si>
  <si>
    <t>F6*G6</t>
  </si>
  <si>
    <t>A50</t>
  </si>
  <si>
    <t>J6/(J7-1)</t>
  </si>
  <si>
    <t>J8/(J10*J11)</t>
  </si>
  <si>
    <t>AVERAGE(B6:B50)</t>
  </si>
  <si>
    <t>AVERAGE(C6:C50)</t>
  </si>
  <si>
    <t>SUM(H6:H50)</t>
  </si>
  <si>
    <t>STDEV.S(B6:B50)</t>
  </si>
  <si>
    <t>STDEV.S(C6:C50)</t>
  </si>
  <si>
    <t>CORREL(B6:B50,C6:C50)</t>
  </si>
  <si>
    <r>
      <rPr>
        <b/>
        <sz val="11"/>
        <color rgb="FFFF0000"/>
        <rFont val="Calibri"/>
        <family val="2"/>
      </rPr>
      <t>Instruction:</t>
    </r>
    <r>
      <rPr>
        <sz val="11"/>
        <rFont val="Calibri"/>
        <family val="2"/>
      </rPr>
      <t xml:space="preserve"> Type "=" in front of the formulas below to apply the calculation.</t>
    </r>
  </si>
  <si>
    <t>Pay attention to the column and the row used in the formulas. For example, B6:B50 is the cell range including all the values of 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</si>
</sst>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name val="Calibri"/>
    </font>
    <font>
      <sz val="11"/>
      <name val="Calibri"/>
      <family val="2"/>
    </font>
    <font>
      <i/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0" fillId="0" borderId="0" xfId="0" applyNumberForma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0" fillId="0" borderId="2" xfId="0" applyBorder="1"/>
    <xf numFmtId="2" fontId="4" fillId="0" borderId="2" xfId="0" applyNumberFormat="1" applyFont="1" applyBorder="1"/>
    <xf numFmtId="2" fontId="1" fillId="0" borderId="2" xfId="0" applyNumberFormat="1" applyFont="1" applyBorder="1"/>
    <xf numFmtId="2" fontId="0" fillId="0" borderId="2" xfId="0" applyNumberFormat="1" applyBorder="1"/>
    <xf numFmtId="1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9A74-C61C-9447-8614-8BA1483613CF}">
  <dimension ref="A1:K50"/>
  <sheetViews>
    <sheetView tabSelected="1" zoomScale="150" zoomScaleNormal="150" workbookViewId="0">
      <selection activeCell="J66" sqref="J66"/>
    </sheetView>
  </sheetViews>
  <sheetFormatPr baseColWidth="10" defaultRowHeight="15" x14ac:dyDescent="0.2"/>
  <cols>
    <col min="1" max="1" width="10.83203125" style="11"/>
    <col min="4" max="5" width="18.5" customWidth="1"/>
    <col min="6" max="7" width="10.83203125" style="1"/>
    <col min="8" max="8" width="26.1640625" style="1" customWidth="1"/>
    <col min="9" max="9" width="25.1640625" style="16" customWidth="1"/>
    <col min="10" max="10" width="19" style="1" customWidth="1"/>
    <col min="11" max="11" width="26" customWidth="1"/>
  </cols>
  <sheetData>
    <row r="1" spans="1:11" x14ac:dyDescent="0.2">
      <c r="A1" s="10" t="s">
        <v>45</v>
      </c>
    </row>
    <row r="2" spans="1:11" x14ac:dyDescent="0.2">
      <c r="A2" s="10" t="s">
        <v>46</v>
      </c>
    </row>
    <row r="3" spans="1:11" x14ac:dyDescent="0.2">
      <c r="A3" s="10"/>
    </row>
    <row r="5" spans="1:11" s="21" customFormat="1" x14ac:dyDescent="0.2">
      <c r="A5" s="20" t="s">
        <v>21</v>
      </c>
      <c r="B5" s="15" t="str">
        <f>'more data'!A1</f>
        <v>X</v>
      </c>
      <c r="C5" s="15" t="s">
        <v>17</v>
      </c>
      <c r="D5" s="14" t="s">
        <v>11</v>
      </c>
      <c r="E5" s="14" t="s">
        <v>12</v>
      </c>
      <c r="F5" s="15" t="s">
        <v>13</v>
      </c>
      <c r="G5" s="15" t="s">
        <v>14</v>
      </c>
      <c r="H5" s="15" t="s">
        <v>15</v>
      </c>
      <c r="I5" s="17"/>
      <c r="J5" s="15" t="s">
        <v>32</v>
      </c>
      <c r="K5" s="14" t="s">
        <v>31</v>
      </c>
    </row>
    <row r="6" spans="1:11" x14ac:dyDescent="0.2">
      <c r="A6" s="11">
        <v>1</v>
      </c>
      <c r="B6" s="6">
        <f>'more data'!A9</f>
        <v>52.53</v>
      </c>
      <c r="C6" s="6">
        <f>'more data'!B9</f>
        <v>66.16</v>
      </c>
      <c r="D6" s="8" t="s">
        <v>39</v>
      </c>
      <c r="E6" s="8" t="s">
        <v>40</v>
      </c>
      <c r="F6" s="9" t="s">
        <v>33</v>
      </c>
      <c r="G6" s="9" t="s">
        <v>34</v>
      </c>
      <c r="H6" s="9" t="s">
        <v>35</v>
      </c>
      <c r="I6" s="18" t="s">
        <v>22</v>
      </c>
      <c r="J6" s="9" t="s">
        <v>41</v>
      </c>
      <c r="K6" s="8" t="s">
        <v>23</v>
      </c>
    </row>
    <row r="7" spans="1:11" x14ac:dyDescent="0.2">
      <c r="A7" s="11">
        <v>2</v>
      </c>
      <c r="B7" s="6">
        <f>'more data'!A11</f>
        <v>66.14</v>
      </c>
      <c r="C7" s="6">
        <f>'more data'!B11</f>
        <v>52.7</v>
      </c>
      <c r="D7" s="8"/>
      <c r="E7" s="8"/>
      <c r="F7" s="9"/>
      <c r="G7" s="9"/>
      <c r="H7" s="9"/>
      <c r="I7" s="18" t="s">
        <v>28</v>
      </c>
      <c r="J7" s="13" t="s">
        <v>36</v>
      </c>
      <c r="K7" s="8" t="s">
        <v>29</v>
      </c>
    </row>
    <row r="8" spans="1:11" x14ac:dyDescent="0.2">
      <c r="A8" s="11">
        <v>3</v>
      </c>
      <c r="B8" s="6">
        <f>'more data'!A6</f>
        <v>49.94</v>
      </c>
      <c r="C8" s="6">
        <f>'more data'!B6</f>
        <v>59.7</v>
      </c>
      <c r="D8" s="8"/>
      <c r="E8" s="8"/>
      <c r="F8" s="9"/>
      <c r="G8" s="9"/>
      <c r="H8" s="9"/>
      <c r="I8" s="18" t="s">
        <v>16</v>
      </c>
      <c r="J8" s="9" t="s">
        <v>37</v>
      </c>
      <c r="K8" s="8" t="s">
        <v>24</v>
      </c>
    </row>
    <row r="9" spans="1:11" x14ac:dyDescent="0.2">
      <c r="A9" s="11">
        <v>4</v>
      </c>
      <c r="B9" s="6">
        <f>'more data'!A41</f>
        <v>58.7</v>
      </c>
      <c r="C9" s="6">
        <f>'more data'!B41</f>
        <v>62.31</v>
      </c>
      <c r="D9" s="8"/>
      <c r="E9" s="8"/>
      <c r="F9" s="9"/>
      <c r="G9" s="9"/>
      <c r="H9" s="9"/>
      <c r="I9" s="19"/>
      <c r="J9" s="6"/>
      <c r="K9" s="7"/>
    </row>
    <row r="10" spans="1:11" x14ac:dyDescent="0.2">
      <c r="A10" s="11">
        <v>5</v>
      </c>
      <c r="B10" s="6">
        <f>'more data'!A16</f>
        <v>61.77</v>
      </c>
      <c r="C10" s="6">
        <f>'more data'!B16</f>
        <v>54.06</v>
      </c>
      <c r="D10" s="8"/>
      <c r="E10" s="8"/>
      <c r="F10" s="9"/>
      <c r="G10" s="9"/>
      <c r="H10" s="9"/>
      <c r="I10" s="18" t="s">
        <v>25</v>
      </c>
      <c r="J10" s="9" t="s">
        <v>42</v>
      </c>
      <c r="K10" s="8" t="s">
        <v>30</v>
      </c>
    </row>
    <row r="11" spans="1:11" x14ac:dyDescent="0.2">
      <c r="A11" s="11">
        <v>6</v>
      </c>
      <c r="B11" s="6">
        <f>'more data'!A32</f>
        <v>58.09</v>
      </c>
      <c r="C11" s="6">
        <f>'more data'!B32</f>
        <v>58.27</v>
      </c>
      <c r="D11" s="8"/>
      <c r="E11" s="8"/>
      <c r="F11" s="9"/>
      <c r="G11" s="9"/>
      <c r="H11" s="9"/>
      <c r="I11" s="18" t="s">
        <v>26</v>
      </c>
      <c r="J11" s="9" t="s">
        <v>43</v>
      </c>
      <c r="K11" s="8" t="s">
        <v>30</v>
      </c>
    </row>
    <row r="12" spans="1:11" x14ac:dyDescent="0.2">
      <c r="A12" s="11">
        <v>7</v>
      </c>
      <c r="B12" s="6">
        <f>'more data'!A38</f>
        <v>56.57</v>
      </c>
      <c r="C12" s="6">
        <f>'more data'!B38</f>
        <v>57.44</v>
      </c>
      <c r="D12" s="8"/>
      <c r="E12" s="8"/>
      <c r="F12" s="9"/>
      <c r="G12" s="9"/>
      <c r="H12" s="9"/>
      <c r="I12" s="19"/>
      <c r="J12" s="6"/>
      <c r="K12" s="7"/>
    </row>
    <row r="13" spans="1:11" x14ac:dyDescent="0.2">
      <c r="A13" s="11">
        <v>8</v>
      </c>
      <c r="B13" s="6">
        <f>'more data'!A26</f>
        <v>62.34</v>
      </c>
      <c r="C13" s="6">
        <f>'more data'!B26</f>
        <v>56.53</v>
      </c>
      <c r="D13" s="8"/>
      <c r="E13" s="8"/>
      <c r="F13" s="9"/>
      <c r="G13" s="9"/>
      <c r="H13" s="9"/>
      <c r="I13" s="18" t="s">
        <v>20</v>
      </c>
      <c r="J13" s="12" t="s">
        <v>38</v>
      </c>
      <c r="K13" s="8" t="s">
        <v>18</v>
      </c>
    </row>
    <row r="14" spans="1:11" x14ac:dyDescent="0.2">
      <c r="A14" s="11">
        <v>9</v>
      </c>
      <c r="B14" s="6">
        <f>'more data'!A42</f>
        <v>68.77</v>
      </c>
      <c r="C14" s="6">
        <f>'more data'!B42</f>
        <v>56.86</v>
      </c>
      <c r="D14" s="8"/>
      <c r="E14" s="8"/>
      <c r="F14" s="9"/>
      <c r="G14" s="9"/>
      <c r="H14" s="9"/>
      <c r="I14" s="18" t="s">
        <v>19</v>
      </c>
      <c r="J14" s="12" t="s">
        <v>44</v>
      </c>
      <c r="K14" s="8" t="s">
        <v>27</v>
      </c>
    </row>
    <row r="15" spans="1:11" x14ac:dyDescent="0.2">
      <c r="A15" s="11">
        <v>10</v>
      </c>
      <c r="B15" s="6">
        <f>'more data'!A30</f>
        <v>57.71</v>
      </c>
      <c r="C15" s="6">
        <f>'more data'!B30</f>
        <v>57.44</v>
      </c>
      <c r="D15" s="8"/>
      <c r="E15" s="8"/>
      <c r="F15" s="9"/>
      <c r="G15" s="9"/>
      <c r="H15" s="9"/>
      <c r="I15" s="19"/>
      <c r="J15" s="6"/>
      <c r="K15" s="7"/>
    </row>
    <row r="16" spans="1:11" x14ac:dyDescent="0.2">
      <c r="A16" s="11">
        <v>11</v>
      </c>
      <c r="B16" s="6">
        <f>'more data'!A25</f>
        <v>49.81</v>
      </c>
      <c r="C16" s="6">
        <f>'more data'!B25</f>
        <v>57</v>
      </c>
      <c r="D16" s="8"/>
      <c r="E16" s="8"/>
      <c r="F16" s="9"/>
      <c r="G16" s="9"/>
      <c r="H16" s="9"/>
      <c r="I16" s="19"/>
      <c r="J16" s="6"/>
      <c r="K16" s="7"/>
    </row>
    <row r="17" spans="1:11" x14ac:dyDescent="0.2">
      <c r="A17" s="11">
        <v>12</v>
      </c>
      <c r="B17" s="6">
        <f>'more data'!A3</f>
        <v>59.11</v>
      </c>
      <c r="C17" s="6">
        <f>'more data'!B3</f>
        <v>55.38</v>
      </c>
      <c r="D17" s="8"/>
      <c r="E17" s="8"/>
      <c r="F17" s="9"/>
      <c r="G17" s="9"/>
      <c r="H17" s="9"/>
      <c r="I17" s="19"/>
      <c r="J17" s="6"/>
      <c r="K17" s="7"/>
    </row>
    <row r="18" spans="1:11" x14ac:dyDescent="0.2">
      <c r="A18" s="11">
        <v>13</v>
      </c>
      <c r="B18" s="6">
        <f>'more data'!A18</f>
        <v>59.7</v>
      </c>
      <c r="C18" s="6">
        <f>'more data'!B18</f>
        <v>45.96</v>
      </c>
      <c r="D18" s="8"/>
      <c r="E18" s="8"/>
      <c r="F18" s="9"/>
      <c r="G18" s="9"/>
      <c r="H18" s="9"/>
      <c r="I18" s="19"/>
      <c r="J18" s="6"/>
      <c r="K18" s="7"/>
    </row>
    <row r="19" spans="1:11" x14ac:dyDescent="0.2">
      <c r="A19" s="11">
        <v>14</v>
      </c>
      <c r="B19" s="6">
        <f>'more data'!A23</f>
        <v>61.17</v>
      </c>
      <c r="C19" s="6">
        <f>'more data'!B23</f>
        <v>59.16</v>
      </c>
      <c r="D19" s="8"/>
      <c r="E19" s="8"/>
      <c r="F19" s="9"/>
      <c r="G19" s="9"/>
      <c r="H19" s="9"/>
      <c r="I19" s="19"/>
      <c r="J19" s="6"/>
      <c r="K19" s="7"/>
    </row>
    <row r="20" spans="1:11" x14ac:dyDescent="0.2">
      <c r="A20" s="11">
        <v>15</v>
      </c>
      <c r="B20" s="6">
        <f>'more data'!A28</f>
        <v>54.46</v>
      </c>
      <c r="C20" s="6">
        <f>'more data'!B28</f>
        <v>55.55</v>
      </c>
      <c r="D20" s="8"/>
      <c r="E20" s="8"/>
      <c r="F20" s="9"/>
      <c r="G20" s="9"/>
      <c r="H20" s="9"/>
      <c r="I20" s="19"/>
      <c r="J20" s="6"/>
      <c r="K20" s="7"/>
    </row>
    <row r="21" spans="1:11" x14ac:dyDescent="0.2">
      <c r="A21" s="11">
        <v>16</v>
      </c>
      <c r="B21" s="6">
        <f>'more data'!A19</f>
        <v>62.79</v>
      </c>
      <c r="C21" s="6">
        <f>'more data'!B19</f>
        <v>59.68</v>
      </c>
      <c r="D21" s="8"/>
      <c r="E21" s="8"/>
      <c r="F21" s="9"/>
      <c r="G21" s="9"/>
      <c r="H21" s="9"/>
      <c r="I21" s="19"/>
      <c r="J21" s="6"/>
      <c r="K21" s="7"/>
    </row>
    <row r="22" spans="1:11" x14ac:dyDescent="0.2">
      <c r="A22" s="11">
        <v>17</v>
      </c>
      <c r="B22" s="6">
        <f>'more data'!A7</f>
        <v>62.41</v>
      </c>
      <c r="C22" s="6">
        <f>'more data'!B7</f>
        <v>60.47</v>
      </c>
      <c r="D22" s="8"/>
      <c r="E22" s="8"/>
      <c r="F22" s="9"/>
      <c r="G22" s="9"/>
      <c r="H22" s="9"/>
      <c r="I22" s="19"/>
      <c r="J22" s="6"/>
      <c r="K22" s="7"/>
    </row>
    <row r="23" spans="1:11" x14ac:dyDescent="0.2">
      <c r="A23" s="11">
        <v>18</v>
      </c>
      <c r="B23" s="6">
        <f>'more data'!A10</f>
        <v>53.85</v>
      </c>
      <c r="C23" s="6">
        <f>'more data'!B10</f>
        <v>55.15</v>
      </c>
      <c r="D23" s="8"/>
      <c r="E23" s="8"/>
      <c r="F23" s="9"/>
      <c r="G23" s="9"/>
      <c r="H23" s="9"/>
      <c r="I23" s="19"/>
      <c r="J23" s="6"/>
      <c r="K23" s="7"/>
    </row>
    <row r="24" spans="1:11" x14ac:dyDescent="0.2">
      <c r="A24" s="11">
        <v>19</v>
      </c>
      <c r="B24" s="6">
        <f>'more data'!A24</f>
        <v>60.84</v>
      </c>
      <c r="C24" s="6">
        <f>'more data'!B24</f>
        <v>71.16</v>
      </c>
      <c r="D24" s="8"/>
      <c r="E24" s="8"/>
      <c r="F24" s="9"/>
      <c r="G24" s="9"/>
      <c r="H24" s="9"/>
      <c r="I24" s="19"/>
      <c r="J24" s="6"/>
      <c r="K24" s="7"/>
    </row>
    <row r="25" spans="1:11" x14ac:dyDescent="0.2">
      <c r="A25" s="11">
        <v>20</v>
      </c>
      <c r="B25" s="6">
        <f>'more data'!A5</f>
        <v>51.58</v>
      </c>
      <c r="C25" s="6">
        <f>'more data'!B5</f>
        <v>53.44</v>
      </c>
      <c r="D25" s="8"/>
      <c r="E25" s="8"/>
      <c r="F25" s="9"/>
      <c r="G25" s="9"/>
      <c r="H25" s="9"/>
      <c r="I25" s="19"/>
      <c r="J25" s="6"/>
      <c r="K25" s="7"/>
    </row>
    <row r="26" spans="1:11" x14ac:dyDescent="0.2">
      <c r="A26" s="11">
        <v>21</v>
      </c>
      <c r="B26" s="6">
        <f>'more data'!A8</f>
        <v>66.86</v>
      </c>
      <c r="C26" s="6">
        <f>'more data'!B8</f>
        <v>62.44</v>
      </c>
      <c r="D26" s="8"/>
      <c r="E26" s="8"/>
      <c r="F26" s="9"/>
      <c r="G26" s="9"/>
      <c r="H26" s="9"/>
      <c r="I26" s="19"/>
      <c r="J26" s="6"/>
      <c r="K26" s="7"/>
    </row>
    <row r="27" spans="1:11" x14ac:dyDescent="0.2">
      <c r="A27" s="11">
        <v>22</v>
      </c>
      <c r="B27" s="6">
        <f>'more data'!A31</f>
        <v>68.14</v>
      </c>
      <c r="C27" s="6">
        <f>'more data'!B31</f>
        <v>63.26</v>
      </c>
      <c r="D27" s="8"/>
      <c r="E27" s="8"/>
      <c r="F27" s="9"/>
      <c r="G27" s="9"/>
      <c r="H27" s="9"/>
      <c r="I27" s="19"/>
      <c r="J27" s="6"/>
      <c r="K27" s="7"/>
    </row>
    <row r="28" spans="1:11" x14ac:dyDescent="0.2">
      <c r="A28" s="11">
        <v>23</v>
      </c>
      <c r="B28" s="6">
        <f>'more data'!A22</f>
        <v>70.22</v>
      </c>
      <c r="C28" s="6">
        <f>'more data'!B22</f>
        <v>64.31</v>
      </c>
      <c r="D28" s="8"/>
      <c r="E28" s="8"/>
      <c r="F28" s="9"/>
      <c r="G28" s="9"/>
      <c r="H28" s="9"/>
      <c r="I28" s="19"/>
      <c r="J28" s="6"/>
      <c r="K28" s="7"/>
    </row>
    <row r="29" spans="1:11" x14ac:dyDescent="0.2">
      <c r="A29" s="11">
        <v>24</v>
      </c>
      <c r="B29" s="6">
        <f>'more data'!A12</f>
        <v>53.52</v>
      </c>
      <c r="C29" s="6">
        <f>'more data'!B12</f>
        <v>44.61</v>
      </c>
      <c r="D29" s="8"/>
      <c r="E29" s="8"/>
      <c r="F29" s="9"/>
      <c r="G29" s="9"/>
      <c r="H29" s="9"/>
      <c r="I29" s="19"/>
      <c r="J29" s="6"/>
      <c r="K29" s="7"/>
    </row>
    <row r="30" spans="1:11" x14ac:dyDescent="0.2">
      <c r="A30" s="11">
        <v>25</v>
      </c>
      <c r="B30" s="6">
        <f>'more data'!A13</f>
        <v>67.98</v>
      </c>
      <c r="C30" s="6">
        <f>'more data'!B13</f>
        <v>66.62</v>
      </c>
      <c r="D30" s="8"/>
      <c r="E30" s="8"/>
      <c r="F30" s="9"/>
      <c r="G30" s="9"/>
      <c r="H30" s="9"/>
      <c r="I30" s="19"/>
      <c r="J30" s="6"/>
      <c r="K30" s="7"/>
    </row>
    <row r="31" spans="1:11" x14ac:dyDescent="0.2">
      <c r="A31" s="11">
        <v>26</v>
      </c>
      <c r="B31" s="6">
        <f>'more data'!A37</f>
        <v>53.01</v>
      </c>
      <c r="C31" s="6">
        <f>'more data'!B37</f>
        <v>42.47</v>
      </c>
      <c r="D31" s="8"/>
      <c r="E31" s="8"/>
      <c r="F31" s="9"/>
      <c r="G31" s="9"/>
      <c r="H31" s="9"/>
      <c r="I31" s="19"/>
      <c r="J31" s="6"/>
      <c r="K31" s="7"/>
    </row>
    <row r="32" spans="1:11" x14ac:dyDescent="0.2">
      <c r="A32" s="11">
        <v>27</v>
      </c>
      <c r="B32" s="6">
        <f>'more data'!A33</f>
        <v>52.44</v>
      </c>
      <c r="C32" s="6">
        <f>'more data'!B33</f>
        <v>40.67</v>
      </c>
      <c r="D32" s="8"/>
      <c r="E32" s="8"/>
      <c r="F32" s="9"/>
      <c r="G32" s="9"/>
      <c r="H32" s="9"/>
      <c r="I32" s="19"/>
      <c r="J32" s="6"/>
      <c r="K32" s="7"/>
    </row>
    <row r="33" spans="1:11" x14ac:dyDescent="0.2">
      <c r="A33" s="11">
        <v>28</v>
      </c>
      <c r="B33" s="6">
        <f>'more data'!A39</f>
        <v>77.8</v>
      </c>
      <c r="C33" s="6">
        <f>'more data'!B39</f>
        <v>63.84</v>
      </c>
      <c r="D33" s="8"/>
      <c r="E33" s="8"/>
      <c r="F33" s="9"/>
      <c r="G33" s="9"/>
      <c r="H33" s="9"/>
      <c r="I33" s="19"/>
      <c r="J33" s="6"/>
      <c r="K33" s="7"/>
    </row>
    <row r="34" spans="1:11" x14ac:dyDescent="0.2">
      <c r="A34" s="11">
        <v>29</v>
      </c>
      <c r="B34" s="6">
        <f>'more data'!A2</f>
        <v>54.6</v>
      </c>
      <c r="C34" s="6">
        <f>'more data'!B2</f>
        <v>30.49</v>
      </c>
      <c r="D34" s="8"/>
      <c r="E34" s="8"/>
      <c r="F34" s="9"/>
      <c r="G34" s="9"/>
      <c r="H34" s="9"/>
      <c r="I34" s="19"/>
      <c r="J34" s="6"/>
      <c r="K34" s="7"/>
    </row>
    <row r="35" spans="1:11" x14ac:dyDescent="0.2">
      <c r="A35" s="11">
        <v>30</v>
      </c>
      <c r="B35" s="6">
        <f>'more data'!A4</f>
        <v>50.31</v>
      </c>
      <c r="C35" s="6">
        <f>'more data'!B4</f>
        <v>41.88</v>
      </c>
      <c r="D35" s="8"/>
      <c r="E35" s="8"/>
      <c r="F35" s="9"/>
      <c r="G35" s="9"/>
      <c r="H35" s="9"/>
      <c r="I35" s="19"/>
      <c r="J35" s="6"/>
      <c r="K35" s="7"/>
    </row>
    <row r="36" spans="1:11" x14ac:dyDescent="0.2">
      <c r="A36" s="11">
        <v>31</v>
      </c>
      <c r="B36" s="6">
        <f>'more data'!A21</f>
        <v>66.430000000000007</v>
      </c>
      <c r="C36" s="6">
        <f>'more data'!B21</f>
        <v>79.39</v>
      </c>
      <c r="D36" s="8"/>
      <c r="E36" s="8"/>
      <c r="F36" s="9"/>
      <c r="G36" s="9"/>
      <c r="H36" s="9"/>
      <c r="I36" s="19"/>
      <c r="J36" s="6"/>
      <c r="K36" s="7"/>
    </row>
    <row r="37" spans="1:11" x14ac:dyDescent="0.2">
      <c r="A37" s="11">
        <v>32</v>
      </c>
      <c r="B37" s="6">
        <f>'more data'!A36</f>
        <v>66.63</v>
      </c>
      <c r="C37" s="6">
        <f>'more data'!B36</f>
        <v>79.540000000000006</v>
      </c>
      <c r="D37" s="8"/>
      <c r="E37" s="8"/>
      <c r="F37" s="9"/>
      <c r="G37" s="9"/>
      <c r="H37" s="9"/>
      <c r="I37" s="19"/>
      <c r="J37" s="6"/>
      <c r="K37" s="7"/>
    </row>
    <row r="38" spans="1:11" x14ac:dyDescent="0.2">
      <c r="A38" s="11">
        <v>33</v>
      </c>
      <c r="B38" s="6">
        <f>'more data'!A27</f>
        <v>50.6</v>
      </c>
      <c r="C38" s="6">
        <f>'more data'!B27</f>
        <v>39.700000000000003</v>
      </c>
      <c r="D38" s="8"/>
      <c r="E38" s="8"/>
      <c r="F38" s="9"/>
      <c r="G38" s="9"/>
      <c r="H38" s="9"/>
      <c r="I38" s="19"/>
      <c r="J38" s="6"/>
      <c r="K38" s="7"/>
    </row>
    <row r="39" spans="1:11" x14ac:dyDescent="0.2">
      <c r="A39" s="11">
        <v>34</v>
      </c>
      <c r="B39" s="6">
        <f>'more data'!A14</f>
        <v>54.09</v>
      </c>
      <c r="C39" s="6">
        <f>'more data'!B14</f>
        <v>28.61</v>
      </c>
      <c r="D39" s="8"/>
      <c r="E39" s="8"/>
      <c r="F39" s="9"/>
      <c r="G39" s="9"/>
      <c r="H39" s="9"/>
      <c r="I39" s="19"/>
      <c r="J39" s="6"/>
      <c r="K39" s="7"/>
    </row>
    <row r="40" spans="1:11" x14ac:dyDescent="0.2">
      <c r="A40" s="11">
        <v>35</v>
      </c>
      <c r="B40" s="6">
        <f>'more data'!A20</f>
        <v>68.58</v>
      </c>
      <c r="C40" s="6">
        <f>'more data'!B20</f>
        <v>75.930000000000007</v>
      </c>
      <c r="D40" s="8"/>
      <c r="E40" s="8"/>
      <c r="F40" s="9"/>
      <c r="G40" s="9"/>
      <c r="H40" s="9"/>
      <c r="I40" s="19"/>
      <c r="J40" s="6"/>
      <c r="K40" s="7"/>
    </row>
    <row r="41" spans="1:11" x14ac:dyDescent="0.2">
      <c r="A41" s="11">
        <v>36</v>
      </c>
      <c r="B41" s="6">
        <f>'more data'!A15</f>
        <v>71.430000000000007</v>
      </c>
      <c r="C41" s="6">
        <f>'more data'!B15</f>
        <v>71.36</v>
      </c>
      <c r="D41" s="8"/>
      <c r="E41" s="8"/>
      <c r="F41" s="9"/>
      <c r="G41" s="9"/>
      <c r="H41" s="9"/>
      <c r="I41" s="19"/>
      <c r="J41" s="6"/>
      <c r="K41" s="7"/>
    </row>
    <row r="42" spans="1:11" x14ac:dyDescent="0.2">
      <c r="A42" s="11">
        <v>37</v>
      </c>
      <c r="B42" s="6">
        <f>'more data'!A44</f>
        <v>75.39</v>
      </c>
      <c r="C42" s="6">
        <f>'more data'!B44</f>
        <v>68.87</v>
      </c>
      <c r="D42" s="8"/>
      <c r="E42" s="8"/>
      <c r="F42" s="9"/>
      <c r="G42" s="9"/>
      <c r="H42" s="9"/>
      <c r="I42" s="19"/>
      <c r="J42" s="6"/>
      <c r="K42" s="7"/>
    </row>
    <row r="43" spans="1:11" x14ac:dyDescent="0.2">
      <c r="A43" s="11">
        <v>38</v>
      </c>
      <c r="B43" s="6">
        <f>'more data'!A35</f>
        <v>47.18</v>
      </c>
      <c r="C43" s="6">
        <f>'more data'!B35</f>
        <v>42.3</v>
      </c>
      <c r="D43" s="8"/>
      <c r="E43" s="8"/>
      <c r="F43" s="9"/>
      <c r="G43" s="9"/>
      <c r="H43" s="9"/>
      <c r="I43" s="19"/>
      <c r="J43" s="6"/>
      <c r="K43" s="7"/>
    </row>
    <row r="44" spans="1:11" x14ac:dyDescent="0.2">
      <c r="A44" s="11">
        <v>39</v>
      </c>
      <c r="B44" s="6">
        <f>'more data'!A17</f>
        <v>39.799999999999997</v>
      </c>
      <c r="C44" s="6">
        <f>'more data'!B17</f>
        <v>47.16</v>
      </c>
      <c r="D44" s="8"/>
      <c r="E44" s="8"/>
      <c r="F44" s="9"/>
      <c r="G44" s="9"/>
      <c r="H44" s="9"/>
      <c r="I44" s="19"/>
      <c r="J44" s="6"/>
      <c r="K44" s="7"/>
    </row>
    <row r="45" spans="1:11" x14ac:dyDescent="0.2">
      <c r="A45" s="11">
        <v>40</v>
      </c>
      <c r="B45" s="6">
        <f>'more data'!A46</f>
        <v>46.49</v>
      </c>
      <c r="C45" s="6">
        <f>'more data'!B46</f>
        <v>41.83</v>
      </c>
      <c r="D45" s="8"/>
      <c r="E45" s="8"/>
      <c r="F45" s="9"/>
      <c r="G45" s="9"/>
      <c r="H45" s="9"/>
      <c r="I45" s="19"/>
      <c r="J45" s="6"/>
      <c r="K45" s="7"/>
    </row>
    <row r="46" spans="1:11" x14ac:dyDescent="0.2">
      <c r="A46" s="11">
        <v>41</v>
      </c>
      <c r="B46" s="6">
        <f>'more data'!A40</f>
        <v>48.76</v>
      </c>
      <c r="C46" s="6">
        <f>'more data'!B40</f>
        <v>37.18</v>
      </c>
      <c r="D46" s="8"/>
      <c r="E46" s="8"/>
      <c r="F46" s="9"/>
      <c r="G46" s="9"/>
      <c r="H46" s="9"/>
      <c r="I46" s="19"/>
      <c r="J46" s="6"/>
      <c r="K46" s="7"/>
    </row>
    <row r="47" spans="1:11" x14ac:dyDescent="0.2">
      <c r="A47" s="11">
        <v>42</v>
      </c>
      <c r="B47" s="6">
        <f>'more data'!A34</f>
        <v>78.59</v>
      </c>
      <c r="C47" s="6">
        <f>'more data'!B34</f>
        <v>76.52</v>
      </c>
      <c r="D47" s="8"/>
      <c r="E47" s="8"/>
      <c r="F47" s="9"/>
      <c r="G47" s="9"/>
      <c r="H47" s="9"/>
      <c r="I47" s="19"/>
      <c r="J47" s="6"/>
      <c r="K47" s="7"/>
    </row>
    <row r="48" spans="1:11" x14ac:dyDescent="0.2">
      <c r="A48" s="11">
        <v>43</v>
      </c>
      <c r="B48" s="6">
        <f>'more data'!A45</f>
        <v>72.209999999999994</v>
      </c>
      <c r="C48" s="6">
        <f>'more data'!B45</f>
        <v>87.15</v>
      </c>
      <c r="D48" s="8"/>
      <c r="E48" s="8"/>
      <c r="F48" s="9"/>
      <c r="G48" s="9"/>
      <c r="H48" s="9"/>
      <c r="I48" s="19"/>
      <c r="J48" s="6"/>
      <c r="K48" s="7"/>
    </row>
    <row r="49" spans="1:11" x14ac:dyDescent="0.2">
      <c r="A49" s="11">
        <v>44</v>
      </c>
      <c r="B49" s="6">
        <f>'more data'!A29</f>
        <v>40.9</v>
      </c>
      <c r="C49" s="6">
        <f>'more data'!B29</f>
        <v>35.33</v>
      </c>
      <c r="D49" s="8"/>
      <c r="E49" s="8"/>
      <c r="F49" s="9"/>
      <c r="G49" s="9"/>
      <c r="H49" s="9"/>
      <c r="I49" s="19"/>
      <c r="J49" s="6"/>
      <c r="K49" s="7"/>
    </row>
    <row r="50" spans="1:11" x14ac:dyDescent="0.2">
      <c r="A50" s="11">
        <v>45</v>
      </c>
      <c r="B50" s="6">
        <f>'more data'!A43</f>
        <v>81.09</v>
      </c>
      <c r="C50" s="6">
        <f>'more data'!B43</f>
        <v>78.16</v>
      </c>
      <c r="D50" s="8"/>
      <c r="E50" s="8"/>
      <c r="F50" s="9"/>
      <c r="G50" s="9"/>
      <c r="H50" s="9"/>
      <c r="I50" s="19"/>
      <c r="J50" s="6"/>
      <c r="K5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zoomScale="150" zoomScaleNormal="150" workbookViewId="0">
      <selection activeCell="H21" sqref="H21"/>
    </sheetView>
  </sheetViews>
  <sheetFormatPr baseColWidth="10" defaultColWidth="8.83203125" defaultRowHeight="15" x14ac:dyDescent="0.2"/>
  <cols>
    <col min="1" max="5" width="8.83203125" style="1"/>
    <col min="7" max="7" width="13.6640625" customWidth="1"/>
    <col min="8" max="8" width="9.83203125" style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">
      <c r="A2" s="2">
        <v>54.6</v>
      </c>
      <c r="B2" s="2">
        <v>30.49</v>
      </c>
      <c r="C2" s="2">
        <v>53.24</v>
      </c>
      <c r="D2" s="2">
        <v>67.98</v>
      </c>
      <c r="E2" s="2">
        <v>85.39</v>
      </c>
      <c r="G2" s="3" t="s">
        <v>9</v>
      </c>
      <c r="H2" s="4" t="s">
        <v>10</v>
      </c>
    </row>
    <row r="3" spans="1:8" x14ac:dyDescent="0.2">
      <c r="A3" s="2">
        <v>59.11</v>
      </c>
      <c r="B3" s="2">
        <v>55.38</v>
      </c>
      <c r="C3" s="2">
        <v>60.4</v>
      </c>
      <c r="D3" s="2">
        <v>60.34</v>
      </c>
      <c r="E3" s="2">
        <v>85.22</v>
      </c>
      <c r="G3" s="3" t="s">
        <v>5</v>
      </c>
      <c r="H3" s="5">
        <f>CORREL($B$2:$B$46,$A$2:$A$46)</f>
        <v>0.74581735893481171</v>
      </c>
    </row>
    <row r="4" spans="1:8" x14ac:dyDescent="0.2">
      <c r="A4" s="2">
        <v>50.31</v>
      </c>
      <c r="B4" s="2">
        <v>41.88</v>
      </c>
      <c r="C4" s="2">
        <v>41.95</v>
      </c>
      <c r="D4" s="2">
        <v>69.66</v>
      </c>
      <c r="E4" s="2">
        <v>86.59</v>
      </c>
      <c r="G4" s="3" t="s">
        <v>6</v>
      </c>
      <c r="H4" s="5">
        <f>CORREL($C$2:$C$46,$A$2:$A$46)</f>
        <v>-0.73255326542737664</v>
      </c>
    </row>
    <row r="5" spans="1:8" x14ac:dyDescent="0.2">
      <c r="A5" s="2">
        <v>51.58</v>
      </c>
      <c r="B5" s="2">
        <v>53.44</v>
      </c>
      <c r="C5" s="2">
        <v>41.96</v>
      </c>
      <c r="D5" s="2">
        <v>57.92</v>
      </c>
      <c r="E5" s="2">
        <v>86.54</v>
      </c>
      <c r="G5" s="3" t="s">
        <v>7</v>
      </c>
      <c r="H5" s="5">
        <f>CORREL($D$2:$D$46,$A$2:$A$46)</f>
        <v>-9.7975237436672094E-2</v>
      </c>
    </row>
    <row r="6" spans="1:8" x14ac:dyDescent="0.2">
      <c r="A6" s="2">
        <v>49.94</v>
      </c>
      <c r="B6" s="2">
        <v>59.7</v>
      </c>
      <c r="C6" s="2">
        <v>43.46</v>
      </c>
      <c r="D6" s="2">
        <v>69.3</v>
      </c>
      <c r="E6" s="2">
        <v>86.66</v>
      </c>
      <c r="G6" s="3" t="s">
        <v>8</v>
      </c>
      <c r="H6" s="5">
        <f>CORREL($E$2:$E$46,$A$2:$A$46)</f>
        <v>0.54520613126563955</v>
      </c>
    </row>
    <row r="7" spans="1:8" x14ac:dyDescent="0.2">
      <c r="A7" s="2">
        <v>62.41</v>
      </c>
      <c r="B7" s="2">
        <v>60.47</v>
      </c>
      <c r="C7" s="2">
        <v>32.409999999999997</v>
      </c>
      <c r="D7" s="2">
        <v>88.87</v>
      </c>
      <c r="E7" s="2">
        <v>86.31</v>
      </c>
    </row>
    <row r="8" spans="1:8" x14ac:dyDescent="0.2">
      <c r="A8" s="2">
        <v>66.86</v>
      </c>
      <c r="B8" s="2">
        <v>62.44</v>
      </c>
      <c r="C8" s="2">
        <v>15.75</v>
      </c>
      <c r="D8" s="2">
        <v>44.46</v>
      </c>
      <c r="E8" s="2">
        <v>88.21</v>
      </c>
    </row>
    <row r="9" spans="1:8" x14ac:dyDescent="0.2">
      <c r="A9" s="2">
        <v>52.53</v>
      </c>
      <c r="B9" s="2">
        <v>66.16</v>
      </c>
      <c r="C9" s="2">
        <v>46.31</v>
      </c>
      <c r="D9" s="2">
        <v>19.420000000000002</v>
      </c>
      <c r="E9" s="2">
        <v>85.69</v>
      </c>
    </row>
    <row r="10" spans="1:8" x14ac:dyDescent="0.2">
      <c r="A10" s="2">
        <v>53.85</v>
      </c>
      <c r="B10" s="2">
        <v>55.15</v>
      </c>
      <c r="C10" s="2">
        <v>53.53</v>
      </c>
      <c r="D10" s="2">
        <v>47.91</v>
      </c>
      <c r="E10" s="2">
        <v>85.03</v>
      </c>
    </row>
    <row r="11" spans="1:8" x14ac:dyDescent="0.2">
      <c r="A11" s="2">
        <v>66.14</v>
      </c>
      <c r="B11" s="2">
        <v>52.7</v>
      </c>
      <c r="C11" s="2">
        <v>26.46</v>
      </c>
      <c r="D11" s="2">
        <v>39.979999999999997</v>
      </c>
      <c r="E11" s="2">
        <v>86.24</v>
      </c>
    </row>
    <row r="12" spans="1:8" x14ac:dyDescent="0.2">
      <c r="A12" s="2">
        <v>53.52</v>
      </c>
      <c r="B12" s="2">
        <v>44.61</v>
      </c>
      <c r="C12" s="2">
        <v>53.6</v>
      </c>
      <c r="D12" s="2">
        <v>55.66</v>
      </c>
      <c r="E12" s="2">
        <v>86.25</v>
      </c>
    </row>
    <row r="13" spans="1:8" x14ac:dyDescent="0.2">
      <c r="A13" s="2">
        <v>67.98</v>
      </c>
      <c r="B13" s="2">
        <v>66.62</v>
      </c>
      <c r="C13" s="2">
        <v>52.88</v>
      </c>
      <c r="D13" s="2">
        <v>58.43</v>
      </c>
      <c r="E13" s="2">
        <v>89.52</v>
      </c>
    </row>
    <row r="14" spans="1:8" x14ac:dyDescent="0.2">
      <c r="A14" s="2">
        <v>54.09</v>
      </c>
      <c r="B14" s="2">
        <v>28.61</v>
      </c>
      <c r="C14" s="2">
        <v>63.12</v>
      </c>
      <c r="D14" s="2">
        <v>75.36</v>
      </c>
      <c r="E14" s="2">
        <v>86.25</v>
      </c>
    </row>
    <row r="15" spans="1:8" x14ac:dyDescent="0.2">
      <c r="A15" s="2">
        <v>71.430000000000007</v>
      </c>
      <c r="B15" s="2">
        <v>71.36</v>
      </c>
      <c r="C15" s="2">
        <v>40.07</v>
      </c>
      <c r="D15" s="2">
        <v>57.71</v>
      </c>
      <c r="E15" s="2">
        <v>91.11</v>
      </c>
    </row>
    <row r="16" spans="1:8" x14ac:dyDescent="0.2">
      <c r="A16" s="2">
        <v>61.77</v>
      </c>
      <c r="B16" s="2">
        <v>54.06</v>
      </c>
      <c r="C16" s="2">
        <v>46.84</v>
      </c>
      <c r="D16" s="2">
        <v>31.69</v>
      </c>
      <c r="E16" s="2">
        <v>86.72</v>
      </c>
    </row>
    <row r="17" spans="1:5" x14ac:dyDescent="0.2">
      <c r="A17" s="2">
        <v>39.799999999999997</v>
      </c>
      <c r="B17" s="2">
        <v>47.16</v>
      </c>
      <c r="C17" s="2">
        <v>65.180000000000007</v>
      </c>
      <c r="D17" s="2">
        <v>46.07</v>
      </c>
      <c r="E17" s="2">
        <v>93.44</v>
      </c>
    </row>
    <row r="18" spans="1:5" x14ac:dyDescent="0.2">
      <c r="A18" s="2">
        <v>59.7</v>
      </c>
      <c r="B18" s="2">
        <v>45.96</v>
      </c>
      <c r="C18" s="2">
        <v>54.16</v>
      </c>
      <c r="D18" s="2">
        <v>76.72</v>
      </c>
      <c r="E18" s="2">
        <v>85.78</v>
      </c>
    </row>
    <row r="19" spans="1:5" x14ac:dyDescent="0.2">
      <c r="A19" s="2">
        <v>62.79</v>
      </c>
      <c r="B19" s="2">
        <v>59.68</v>
      </c>
      <c r="C19" s="2">
        <v>52.95</v>
      </c>
      <c r="D19" s="2">
        <v>52.67</v>
      </c>
      <c r="E19" s="2">
        <v>86.67</v>
      </c>
    </row>
    <row r="20" spans="1:5" x14ac:dyDescent="0.2">
      <c r="A20" s="2">
        <v>68.58</v>
      </c>
      <c r="B20" s="2">
        <v>75.930000000000007</v>
      </c>
      <c r="C20" s="2">
        <v>38.49</v>
      </c>
      <c r="D20" s="2">
        <v>71.64</v>
      </c>
      <c r="E20" s="2">
        <v>89.22</v>
      </c>
    </row>
    <row r="21" spans="1:5" x14ac:dyDescent="0.2">
      <c r="A21" s="2">
        <v>66.430000000000007</v>
      </c>
      <c r="B21" s="2">
        <v>79.39</v>
      </c>
      <c r="C21" s="2">
        <v>44.95</v>
      </c>
      <c r="D21" s="2">
        <v>26.88</v>
      </c>
      <c r="E21" s="2">
        <v>87.8</v>
      </c>
    </row>
    <row r="22" spans="1:5" x14ac:dyDescent="0.2">
      <c r="A22" s="2">
        <v>70.22</v>
      </c>
      <c r="B22" s="2">
        <v>64.31</v>
      </c>
      <c r="C22" s="2">
        <v>36.75</v>
      </c>
      <c r="D22" s="2">
        <v>68.84</v>
      </c>
      <c r="E22" s="2">
        <v>89.9</v>
      </c>
    </row>
    <row r="23" spans="1:5" x14ac:dyDescent="0.2">
      <c r="A23" s="2">
        <v>61.17</v>
      </c>
      <c r="B23" s="2">
        <v>59.16</v>
      </c>
      <c r="C23" s="2">
        <v>37.56</v>
      </c>
      <c r="D23" s="2">
        <v>65.349999999999994</v>
      </c>
      <c r="E23" s="2">
        <v>86.45</v>
      </c>
    </row>
    <row r="24" spans="1:5" x14ac:dyDescent="0.2">
      <c r="A24" s="2">
        <v>60.84</v>
      </c>
      <c r="B24" s="2">
        <v>71.16</v>
      </c>
      <c r="C24" s="2">
        <v>43.53</v>
      </c>
      <c r="D24" s="2">
        <v>58.03</v>
      </c>
      <c r="E24" s="2">
        <v>86.89</v>
      </c>
    </row>
    <row r="25" spans="1:5" x14ac:dyDescent="0.2">
      <c r="A25" s="2">
        <v>49.81</v>
      </c>
      <c r="B25" s="2">
        <v>57</v>
      </c>
      <c r="C25" s="2">
        <v>56.9</v>
      </c>
      <c r="D25" s="2">
        <v>64.900000000000006</v>
      </c>
      <c r="E25" s="2">
        <v>87.29</v>
      </c>
    </row>
    <row r="26" spans="1:5" x14ac:dyDescent="0.2">
      <c r="A26" s="2">
        <v>62.34</v>
      </c>
      <c r="B26" s="2">
        <v>56.53</v>
      </c>
      <c r="C26" s="2">
        <v>38.29</v>
      </c>
      <c r="D26" s="2">
        <v>74.489999999999995</v>
      </c>
      <c r="E26" s="2">
        <v>86.14</v>
      </c>
    </row>
    <row r="27" spans="1:5" x14ac:dyDescent="0.2">
      <c r="A27" s="2">
        <v>50.6</v>
      </c>
      <c r="B27" s="2">
        <v>39.700000000000003</v>
      </c>
      <c r="C27" s="2">
        <v>40.76</v>
      </c>
      <c r="D27" s="2">
        <v>52.05</v>
      </c>
      <c r="E27" s="2">
        <v>86.62</v>
      </c>
    </row>
    <row r="28" spans="1:5" x14ac:dyDescent="0.2">
      <c r="A28" s="2">
        <v>54.46</v>
      </c>
      <c r="B28" s="2">
        <v>55.55</v>
      </c>
      <c r="C28" s="2">
        <v>49.92</v>
      </c>
      <c r="D28" s="2">
        <v>86.18</v>
      </c>
      <c r="E28" s="2">
        <v>86.27</v>
      </c>
    </row>
    <row r="29" spans="1:5" x14ac:dyDescent="0.2">
      <c r="A29" s="2">
        <v>40.9</v>
      </c>
      <c r="B29" s="2">
        <v>35.33</v>
      </c>
      <c r="C29" s="2">
        <v>47.88</v>
      </c>
      <c r="D29" s="2">
        <v>25.91</v>
      </c>
      <c r="E29" s="2">
        <v>91.43</v>
      </c>
    </row>
    <row r="30" spans="1:5" x14ac:dyDescent="0.2">
      <c r="A30" s="2">
        <v>57.71</v>
      </c>
      <c r="B30" s="2">
        <v>57.44</v>
      </c>
      <c r="C30" s="2">
        <v>52.89</v>
      </c>
      <c r="D30" s="2">
        <v>47.6</v>
      </c>
      <c r="E30" s="2">
        <v>86.13</v>
      </c>
    </row>
    <row r="31" spans="1:5" x14ac:dyDescent="0.2">
      <c r="A31" s="2">
        <v>68.14</v>
      </c>
      <c r="B31" s="2">
        <v>63.26</v>
      </c>
      <c r="C31" s="2">
        <v>28.26</v>
      </c>
      <c r="D31" s="2">
        <v>88.74</v>
      </c>
      <c r="E31" s="2">
        <v>89.47</v>
      </c>
    </row>
    <row r="32" spans="1:5" x14ac:dyDescent="0.2">
      <c r="A32" s="2">
        <v>58.09</v>
      </c>
      <c r="B32" s="2">
        <v>58.27</v>
      </c>
      <c r="C32" s="2">
        <v>39.94</v>
      </c>
      <c r="D32" s="2">
        <v>58.68</v>
      </c>
      <c r="E32" s="2">
        <v>86.33</v>
      </c>
    </row>
    <row r="33" spans="1:5" x14ac:dyDescent="0.2">
      <c r="A33" s="2">
        <v>52.44</v>
      </c>
      <c r="B33" s="2">
        <v>40.67</v>
      </c>
      <c r="C33" s="2">
        <v>60.19</v>
      </c>
      <c r="D33" s="2">
        <v>74.010000000000005</v>
      </c>
      <c r="E33" s="2">
        <v>86.05</v>
      </c>
    </row>
    <row r="34" spans="1:5" x14ac:dyDescent="0.2">
      <c r="A34" s="2">
        <v>78.59</v>
      </c>
      <c r="B34" s="2">
        <v>76.52</v>
      </c>
      <c r="C34" s="2">
        <v>30.85</v>
      </c>
      <c r="D34" s="2">
        <v>52.64</v>
      </c>
      <c r="E34" s="2">
        <v>97.4</v>
      </c>
    </row>
    <row r="35" spans="1:5" x14ac:dyDescent="0.2">
      <c r="A35" s="2">
        <v>47.18</v>
      </c>
      <c r="B35" s="2">
        <v>42.3</v>
      </c>
      <c r="C35" s="2">
        <v>67.900000000000006</v>
      </c>
      <c r="D35" s="2">
        <v>36.24</v>
      </c>
      <c r="E35" s="2">
        <v>88.35</v>
      </c>
    </row>
    <row r="36" spans="1:5" x14ac:dyDescent="0.2">
      <c r="A36" s="2">
        <v>66.63</v>
      </c>
      <c r="B36" s="2">
        <v>79.540000000000006</v>
      </c>
      <c r="C36" s="2">
        <v>32.08</v>
      </c>
      <c r="D36" s="2">
        <v>43.04</v>
      </c>
      <c r="E36" s="2">
        <v>87.81</v>
      </c>
    </row>
    <row r="37" spans="1:5" x14ac:dyDescent="0.2">
      <c r="A37" s="2">
        <v>53.01</v>
      </c>
      <c r="B37" s="2">
        <v>42.47</v>
      </c>
      <c r="C37" s="2">
        <v>55.32</v>
      </c>
      <c r="D37" s="2">
        <v>97.33</v>
      </c>
      <c r="E37" s="2">
        <v>86.05</v>
      </c>
    </row>
    <row r="38" spans="1:5" x14ac:dyDescent="0.2">
      <c r="A38" s="2">
        <v>56.57</v>
      </c>
      <c r="B38" s="2">
        <v>57.44</v>
      </c>
      <c r="C38" s="2">
        <v>43.21</v>
      </c>
      <c r="D38" s="2">
        <v>49.52</v>
      </c>
      <c r="E38" s="2">
        <v>85.71</v>
      </c>
    </row>
    <row r="39" spans="1:5" x14ac:dyDescent="0.2">
      <c r="A39" s="2">
        <v>77.8</v>
      </c>
      <c r="B39" s="2">
        <v>63.84</v>
      </c>
      <c r="C39" s="2">
        <v>16.8</v>
      </c>
      <c r="D39" s="2">
        <v>29.18</v>
      </c>
      <c r="E39" s="2">
        <v>97.47</v>
      </c>
    </row>
    <row r="40" spans="1:5" x14ac:dyDescent="0.2">
      <c r="A40" s="2">
        <v>48.76</v>
      </c>
      <c r="B40" s="2">
        <v>37.18</v>
      </c>
      <c r="C40" s="2">
        <v>64.739999999999995</v>
      </c>
      <c r="D40" s="2">
        <v>82.88</v>
      </c>
      <c r="E40" s="2">
        <v>88.15</v>
      </c>
    </row>
    <row r="41" spans="1:5" x14ac:dyDescent="0.2">
      <c r="A41" s="2">
        <v>58.7</v>
      </c>
      <c r="B41" s="2">
        <v>62.31</v>
      </c>
      <c r="C41" s="2">
        <v>38.840000000000003</v>
      </c>
      <c r="D41" s="2">
        <v>55.68</v>
      </c>
      <c r="E41" s="2">
        <v>85.95</v>
      </c>
    </row>
    <row r="42" spans="1:5" x14ac:dyDescent="0.2">
      <c r="A42" s="2">
        <v>68.77</v>
      </c>
      <c r="B42" s="2">
        <v>56.86</v>
      </c>
      <c r="C42" s="2">
        <v>27.2</v>
      </c>
      <c r="D42" s="2">
        <v>13.58</v>
      </c>
      <c r="E42" s="2">
        <v>89.33</v>
      </c>
    </row>
    <row r="43" spans="1:5" x14ac:dyDescent="0.2">
      <c r="A43" s="2">
        <v>81.09</v>
      </c>
      <c r="B43" s="2">
        <v>78.16</v>
      </c>
      <c r="C43" s="2">
        <v>7.92</v>
      </c>
      <c r="D43" s="2">
        <v>51.74</v>
      </c>
      <c r="E43" s="2">
        <v>100</v>
      </c>
    </row>
    <row r="44" spans="1:5" x14ac:dyDescent="0.2">
      <c r="A44" s="2">
        <v>75.39</v>
      </c>
      <c r="B44" s="2">
        <v>68.87</v>
      </c>
      <c r="C44" s="2">
        <v>31.26</v>
      </c>
      <c r="D44" s="2">
        <v>64.62</v>
      </c>
      <c r="E44" s="2">
        <v>93.77</v>
      </c>
    </row>
    <row r="45" spans="1:5" x14ac:dyDescent="0.2">
      <c r="A45" s="2">
        <v>72.209999999999994</v>
      </c>
      <c r="B45" s="2">
        <v>87.15</v>
      </c>
      <c r="C45" s="2">
        <v>34.89</v>
      </c>
      <c r="D45" s="2">
        <v>59.28</v>
      </c>
      <c r="E45" s="2">
        <v>91.71</v>
      </c>
    </row>
    <row r="46" spans="1:5" x14ac:dyDescent="0.2">
      <c r="A46" s="2">
        <v>46.49</v>
      </c>
      <c r="B46" s="2">
        <v>41.83</v>
      </c>
      <c r="C46" s="2">
        <v>46.65</v>
      </c>
      <c r="D46" s="2">
        <v>67.819999999999993</v>
      </c>
      <c r="E46" s="2">
        <v>88.21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covariance</vt:lpstr>
      <vt:lpstr>more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Chanh Bao Lam</cp:lastModifiedBy>
  <dcterms:modified xsi:type="dcterms:W3CDTF">2026-01-16T20:42:08Z</dcterms:modified>
</cp:coreProperties>
</file>